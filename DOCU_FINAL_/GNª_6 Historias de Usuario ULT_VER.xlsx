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icha\Downloads\"/>
    </mc:Choice>
  </mc:AlternateContent>
  <xr:revisionPtr revIDLastSave="0" documentId="13_ncr:1_{8319C451-473C-4F72-B36D-E02F108DE5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<sst xmlns="http://schemas.openxmlformats.org/spreadsheetml/2006/main" count="180" uniqueCount="128">
  <si>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</si>
  <si>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</si>
  <si>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</si>
  <si>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</si>
  <si>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</si>
  <si>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</si>
  <si>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</si>
  <si>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</si>
  <si>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</si>
  <si>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</si>
  <si>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</si>
  <si>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</si>
  <si>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</si>
  <si>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</si>
  <si>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</si>
  <si>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</si>
  <si>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Ingresar un usuario con sus credenciales y una contraseña.</t>
  </si>
  <si>
    <t>Controlar quién puede ingresar al sistema de inventario.</t>
  </si>
  <si>
    <t>Para proteger los datos del inventario y evitar accesos no autorizados.</t>
  </si>
  <si>
    <t>Para la clienta Veronica Gordillo dueña de JK. Multiplasticos.</t>
  </si>
  <si>
    <t>Desarrollar sistema con funciones CRUD básicas.</t>
  </si>
  <si>
    <t>Grupo 6</t>
  </si>
  <si>
    <t>Alta</t>
  </si>
  <si>
    <t>Terminado</t>
  </si>
  <si>
    <t>Al ingresara un usuario este tendra 3 intentos, el cual si uno es incorrecto aparecera un mensaje por pantalla diciendo credenciales incorrectas, realizados los intentos y las credenciales sean incorrectas el acceso se bloqueara.</t>
  </si>
  <si>
    <t>Sistema base desarrollado en C para CODE BLOCKS.</t>
  </si>
  <si>
    <t>ACCESO AL SISTEMA</t>
  </si>
  <si>
    <t>REQ002</t>
  </si>
  <si>
    <t>Generar un menu con las opciones necesarias del cliente.</t>
  </si>
  <si>
    <t>Contar con las opciones necesarias en el menú para acceder a las funciones del sistema</t>
  </si>
  <si>
    <t>Para que el cliente pueda visualizar y acceder a las funciones necesarias dentro del sistema.</t>
  </si>
  <si>
    <t>Diseñar y desarrollar un menú dinámico en CODE BLOCKS que muestre únicamente las opciones asignadas al cliente según su rol y permisos.</t>
  </si>
  <si>
    <t>El menú debe mostrar únicamente las opciones configuradas para el cliente según base de datos.
El usuario debe poder navegar entre cada opción sin errores y sin mostrar módulos a los que no tiene acceso.</t>
  </si>
  <si>
    <t>Se realizo en CODE BLOCKS un menú sencillo y fácil de usar, que muestra únicamente las opciones que el cliente necesita.</t>
  </si>
  <si>
    <t>GENERAR MENU</t>
  </si>
  <si>
    <t>REQ003</t>
  </si>
  <si>
    <t xml:space="preserve"> Registrar La entrada de nuevos productos en el inventario de manera organizada.</t>
  </si>
  <si>
    <t>Tener un registro estructurado de todos los productos con código, nombre y stock.</t>
  </si>
  <si>
    <t>Para evitar duplicados y mantener un catálogo de productos actualizado.</t>
  </si>
  <si>
    <t xml:space="preserve">Mostrar por pantalla un menu donde se puedan ingresar nuevos productos y guardarlos en el inventario: cantidad, precio, categoría, etc.
</t>
  </si>
  <si>
    <t xml:space="preserve">Media </t>
  </si>
  <si>
    <t>El sistema debe permitir registrar un nuevo producto sin errores ,el producto debe aparecer inmediatamente en el inventario ,los datos ingresados deben mostrarse completos y correctos tambien se debe poder consultar el registro del producto en cualquier momento.</t>
  </si>
  <si>
    <t>Se creó una pantalla simple donde el cliente puede registrar nuevos productos y mantener el inventario ordenado. La información queda guardada de forma clara y accesible para futuras consultas.</t>
  </si>
  <si>
    <t>REGISTRAR ENTRADA DE PRODUCTOS</t>
  </si>
  <si>
    <t>REQ004</t>
  </si>
  <si>
    <t>El usuario necesita encontrar un producto rápidamente dentro del inventario.</t>
  </si>
  <si>
    <t>Poder buscar un producto por nombreo o ID.</t>
  </si>
  <si>
    <t>Para ubicar productos de manera rápida sin revisar toda la lista.</t>
  </si>
  <si>
    <t>Crear una opción para buscar productos y mostrar los resultados.</t>
  </si>
  <si>
    <t>Al ingresar un nombre de  un producto el ID, deben mostrarse los productos que coincidan.</t>
  </si>
  <si>
    <t>Pantalla simple que muestre resultados claros para no confundir al usuario.</t>
  </si>
  <si>
    <t>BUSCAR PRODUCTO</t>
  </si>
  <si>
    <t>REQ005</t>
  </si>
  <si>
    <t>Registrar salida de productos del inventario.</t>
  </si>
  <si>
    <t>Reducir el stock de manera controlada y registrada.</t>
  </si>
  <si>
    <t>Para llevar un historial de salidas y evitar faltantes no registrados y que refleje las cantidades reales después de ventas o uso interno.</t>
  </si>
  <si>
    <t>Agregar una opción para elegir un producto y restar la cantidad que aparece.</t>
  </si>
  <si>
    <t>Después de registrar la salida, la cantidad del producto debe disminuir correctamente y quedar guardado el movimiento.</t>
  </si>
  <si>
    <t>Incluye validación para no permitir cantidades negativas y mostrar un mensaje si no hay stock suficiente.</t>
  </si>
  <si>
    <t>REGISTRAR SALIDA</t>
  </si>
  <si>
    <t>REQ006</t>
  </si>
  <si>
    <t>Hay productos en el inventario que ya no existen o no deberían seguir apareciendo, y el sistema no permite borrarlos.</t>
  </si>
  <si>
    <t>Poder eliminar productos del inventario cuando ya no se usan o ya no se disponen.</t>
  </si>
  <si>
    <t>Para mantener el inventario limpio, actualizado y sin productos que ya no sirven.</t>
  </si>
  <si>
    <t>Agregar una opción para seleccionar un producto y eliminarlo del inventario.</t>
  </si>
  <si>
    <t>Al elegir un producto y confirmar la eliminación, debe desaparecer del inventario de manera inmediata.</t>
  </si>
  <si>
    <t>Debe mostrar una confirmación antes de borrar para evitar eliminar productos por error.</t>
  </si>
  <si>
    <t>ELIMINAR PRODUCTO DEL INVENTARIO</t>
  </si>
  <si>
    <t>REQ007</t>
  </si>
  <si>
    <t>El usuario no puede ver todos los productos disponibles de forma ordenada.</t>
  </si>
  <si>
    <t>Poder ver la lista completa del inventario.</t>
  </si>
  <si>
    <t>Para conocer qué productos hay y en qué cantidad.</t>
  </si>
  <si>
    <t>Mostrar una tabla con todos los productos registrados.</t>
  </si>
  <si>
    <t>El inventario debe mostrarse completo y bien ordenado.</t>
  </si>
  <si>
    <t>Debe ser fácil de leer y entender para el usuario.</t>
  </si>
  <si>
    <t>MOSTRAR INVENTARIO</t>
  </si>
  <si>
    <t>REQ008</t>
  </si>
  <si>
    <t>El usuario necesita un resumen general del inventario.</t>
  </si>
  <si>
    <t>Obtener un informe con datos importantes del inventario.</t>
  </si>
  <si>
    <t>Para conocer el estado general de los productos.</t>
  </si>
  <si>
    <t>Generar un reporte simple con cantidades totales y lista resumida.</t>
  </si>
  <si>
    <t>El sistema debe generar el reporte sin errores.</t>
  </si>
  <si>
    <t>El reporte debe ser claro y fácil de entender.</t>
  </si>
  <si>
    <t>REPORTE DE INVENTARIO</t>
  </si>
  <si>
    <t>REQ009</t>
  </si>
  <si>
    <t>El usuario desea el inventario en un archivo externo.</t>
  </si>
  <si>
    <t>Poder exportar el inventario a un archivo de texto.</t>
  </si>
  <si>
    <t>Para guardarlo, imprimirlo o revisarlo fuera del sistema.</t>
  </si>
  <si>
    <t>Crear un archivo .txt con la información del inventario.</t>
  </si>
  <si>
    <t>El archivo debe generarse y abrirse sin problemas.</t>
  </si>
  <si>
    <t>El formato del archivo debe ser claro y ordenado.</t>
  </si>
  <si>
    <t>EXPORTAR TEXTO</t>
  </si>
  <si>
    <t>REQ0010</t>
  </si>
  <si>
    <t>El usuario desea modificar su contraseña dentro del sistema.</t>
  </si>
  <si>
    <t>Poder cambiar su contraseña cuando lo necesite.</t>
  </si>
  <si>
    <t>Para mejorar la seguridad y privacidad del usuario.</t>
  </si>
  <si>
    <t>Agregar una opción para ingresar la contraseña actual y la nueva.</t>
  </si>
  <si>
    <t>El sistema debe validar y guardar correctamente la nueva contraseña.</t>
  </si>
  <si>
    <t>Debe incluir confirmación para evitar errores.</t>
  </si>
  <si>
    <t>CAMBIAR CONTRASEÑA</t>
  </si>
  <si>
    <t>REQ0011</t>
  </si>
  <si>
    <t>El usuario no podía cerrar su sesión actual.</t>
  </si>
  <si>
    <t>Poder cerrar sesión de manera segura.</t>
  </si>
  <si>
    <t>Para evitar que otra persona use su cuenta.</t>
  </si>
  <si>
    <t>Regresar al menú de inicio y pedir credenciales nuevamente.</t>
  </si>
  <si>
    <t>La sesión debe cerrarse y pedir usuario y contraseña de nuevo.</t>
  </si>
  <si>
    <t>Debe funcionar rápido y sin errores.</t>
  </si>
  <si>
    <t>CERRAR SESIÓN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</si>
  <si>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</si>
  <si>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</si>
  <si>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</si>
  <si>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</si>
  <si>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</si>
  <si>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</si>
  <si>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</si>
  <si>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</si>
  <si>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</si>
  <si>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</si>
  <si>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</si>
  <si>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</si>
  <si>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</si>
  <si>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REQ0012</t>
  </si>
  <si>
    <t>No hay alertas automáticas cuando los productos están por agotarse, lo que puede causar desabastecimiento.</t>
  </si>
  <si>
    <t>Recibir alertas visuales cuando el stock de un producto esté por debajo de un límite configurable.</t>
  </si>
  <si>
    <t>Para prevenir desabastecimiento y permitir reabastecimiento oportuno de productos.</t>
  </si>
  <si>
    <t>1. Agregar opción para configurar stock mínimo global.
2. Mostrar alertas visuales (colores rojo/amarillo) en inventario.
3. Alertar durante registros de salida.
4. Guardar configuración en archivo persistente.
5. Incluir contador de productos con stock bajo en reportes.</t>
  </si>
  <si>
    <t>1. Configurar stock mínimo a 10 unidades.
2. Ver productos con ≤10 unidades en rojo.
3. Registrar salida que deje stock ≤10 y ver alerta.
4. Reiniciar sistema y ver que configuración se mantiene.
5. Exportar reporte y ver contador de productos bajos.</t>
  </si>
  <si>
    <t>Implementado en funciones: configurarStockMinimo(), obtenerStockMinimo(), contarProductosBajoStock(), y validación visual en mostrarInventario() y registrarMovimiento(). Incluye persistencia en ARCHIVO_CONFIG.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</si>
</sst>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8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2"/>
      <color theme="1"/>
      <name val="Arial Narrow"/>
    </font>
    <font>
      <b/>
      <sz val="12"/>
      <color theme="1"/>
      <name val="Arial Narrow"/>
    </font>
    <font>
      <sz val="12"/>
      <color theme="1"/>
      <name val="Calibri"/>
    </font>
    <font>
      <sz val="12"/>
      <color theme="1"/>
      <name val="Arial Narrow"/>
    </font>
    <font>
      <sz val="12"/>
      <color theme="1"/>
      <name val="Quattrocento Sans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b/>
      <i/>
      <sz val="12"/>
      <color rgb="FF9C6500"/>
      <name val="Calibri"/>
    </font>
    <font>
      <sz val="8"/>
      <name val="Arial"/>
      <scheme val="minor"/>
    </font>
    <font>
      <sz val="12"/>
      <color theme="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57BB8A"/>
        <bgColor rgb="FF57BB8A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14" fontId="7" fillId="2" borderId="4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49" fontId="7" fillId="3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1" fillId="4" borderId="0" xfId="0" applyFont="1" applyFill="1"/>
    <xf numFmtId="164" fontId="1" fillId="0" borderId="0" xfId="0" applyNumberFormat="1" applyFont="1" applyAlignment="1"/>
    <xf numFmtId="0" fontId="9" fillId="0" borderId="0" xfId="0" applyFont="1" applyAlignment="1">
      <alignment horizontal="left" vertical="center" wrapText="1"/>
    </xf>
    <xf numFmtId="0" fontId="10" fillId="0" borderId="0" xfId="0" applyFont="1"/>
    <xf numFmtId="0" fontId="12" fillId="0" borderId="0" xfId="0" applyFont="1"/>
    <xf numFmtId="0" fontId="9" fillId="0" borderId="0" xfId="0" applyFont="1" applyAlignment="1">
      <alignment horizontal="center" vertical="center" wrapText="1"/>
    </xf>
    <xf numFmtId="0" fontId="12" fillId="5" borderId="5" xfId="0" applyFont="1" applyFill="1" applyBorder="1"/>
    <xf numFmtId="0" fontId="9" fillId="5" borderId="6" xfId="0" applyFont="1" applyFill="1" applyBorder="1" applyAlignment="1">
      <alignment horizontal="left" vertical="center" wrapText="1"/>
    </xf>
    <xf numFmtId="0" fontId="10" fillId="5" borderId="6" xfId="0" applyFont="1" applyFill="1" applyBorder="1"/>
    <xf numFmtId="0" fontId="12" fillId="5" borderId="6" xfId="0" applyFont="1" applyFill="1" applyBorder="1"/>
    <xf numFmtId="0" fontId="12" fillId="5" borderId="7" xfId="0" applyFont="1" applyFill="1" applyBorder="1"/>
    <xf numFmtId="0" fontId="12" fillId="5" borderId="8" xfId="0" applyFont="1" applyFill="1" applyBorder="1"/>
    <xf numFmtId="0" fontId="13" fillId="6" borderId="4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vertical="center"/>
    </xf>
    <xf numFmtId="0" fontId="12" fillId="5" borderId="9" xfId="0" applyFont="1" applyFill="1" applyBorder="1"/>
    <xf numFmtId="0" fontId="12" fillId="5" borderId="10" xfId="0" applyFont="1" applyFill="1" applyBorder="1"/>
    <xf numFmtId="0" fontId="6" fillId="7" borderId="4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vertical="center" wrapText="1"/>
    </xf>
    <xf numFmtId="0" fontId="10" fillId="5" borderId="9" xfId="0" applyFont="1" applyFill="1" applyBorder="1" applyAlignment="1">
      <alignment vertical="center"/>
    </xf>
    <xf numFmtId="0" fontId="6" fillId="5" borderId="9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/>
    </xf>
    <xf numFmtId="0" fontId="12" fillId="5" borderId="28" xfId="0" applyFont="1" applyFill="1" applyBorder="1"/>
    <xf numFmtId="0" fontId="12" fillId="5" borderId="29" xfId="0" applyFont="1" applyFill="1" applyBorder="1"/>
    <xf numFmtId="0" fontId="12" fillId="5" borderId="30" xfId="0" applyFont="1" applyFill="1" applyBorder="1"/>
    <xf numFmtId="0" fontId="0" fillId="7" borderId="4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14" fontId="17" fillId="2" borderId="4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3" fillId="6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9" xfId="0" applyFont="1" applyBorder="1"/>
    <xf numFmtId="0" fontId="3" fillId="0" borderId="20" xfId="0" applyFont="1" applyBorder="1"/>
    <xf numFmtId="0" fontId="0" fillId="7" borderId="12" xfId="0" applyFont="1" applyFill="1" applyBorder="1" applyAlignment="1">
      <alignment horizontal="center" vertical="center"/>
    </xf>
    <xf numFmtId="0" fontId="3" fillId="0" borderId="14" xfId="0" applyFont="1" applyBorder="1"/>
    <xf numFmtId="0" fontId="0" fillId="0" borderId="0" xfId="0" applyFont="1" applyAlignment="1"/>
    <xf numFmtId="0" fontId="3" fillId="0" borderId="21" xfId="0" applyFont="1" applyBorder="1"/>
    <xf numFmtId="0" fontId="13" fillId="6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7" borderId="12" xfId="0" applyFont="1" applyFill="1" applyBorder="1" applyAlignment="1">
      <alignment horizontal="center" vertical="center" wrapText="1"/>
    </xf>
    <xf numFmtId="0" fontId="13" fillId="8" borderId="11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8" xfId="0" applyFont="1" applyBorder="1"/>
    <xf numFmtId="0" fontId="0" fillId="7" borderId="12" xfId="0" applyFont="1" applyFill="1" applyBorder="1" applyAlignment="1">
      <alignment horizontal="left" vertical="center"/>
    </xf>
    <xf numFmtId="0" fontId="0" fillId="10" borderId="22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15" fillId="9" borderId="12" xfId="0" applyFont="1" applyFill="1" applyBorder="1" applyAlignment="1">
      <alignment horizontal="center" vertical="center"/>
    </xf>
    <xf numFmtId="49" fontId="0" fillId="7" borderId="12" xfId="0" applyNumberFormat="1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border outline="0">
        <left style="thin">
          <color rgb="FF000000"/>
        </left>
      </border>
    </dxf>
    <dxf>
      <numFmt numFmtId="19" formatCode="d/m/yyyy"/>
    </dxf>
    <dxf>
      <border outline="0">
        <right style="thin">
          <color rgb="FF000000"/>
        </right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Formato descripción HU-style" pivot="0" count="4" xr9:uid="{00000000-0011-0000-FFFF-FFFF00000000}">
      <tableStyleElement type="wholeTable" size="0" dxfId="10"/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B5:O17">
  <tableColumns count="14">
    <tableColumn id="1" xr3:uid="{00000000-0010-0000-0000-000001000000}" name="ITEM"/>
    <tableColumn id="2" xr3:uid="{00000000-0010-0000-0000-000002000000}" name="PROBLEMA"/>
    <tableColumn id="3" xr3:uid="{00000000-0010-0000-0000-000003000000}" name="QUE _x000a_(NECESIDAD)"/>
    <tableColumn id="4" xr3:uid="{00000000-0010-0000-0000-000004000000}" name="PARA QUE _x000a_(SOLUCIÓN)"/>
    <tableColumn id="5" xr3:uid="{00000000-0010-0000-0000-000005000000}" name="PARA QUIEN (USUARIO)"/>
    <tableColumn id="6" xr3:uid="{00000000-0010-0000-0000-000006000000}" name="COMO_x000a_ (DESCRIPCIÓN DE TAREAS)"/>
    <tableColumn id="7" xr3:uid="{00000000-0010-0000-0000-000007000000}" name="HECHO POR  (PROG. RESP.)"/>
    <tableColumn id="8" xr3:uid="{00000000-0010-0000-0000-000008000000}" name="CUANTO TIEMPO (ESTIMADO EN HRS)" dataDxfId="6"/>
    <tableColumn id="9" xr3:uid="{00000000-0010-0000-0000-000009000000}" name="FECHA DE ENTREGA" dataDxfId="5"/>
    <tableColumn id="10" xr3:uid="{00000000-0010-0000-0000-00000A000000}" name="PRIORIDAD" dataDxfId="4"/>
    <tableColumn id="11" xr3:uid="{00000000-0010-0000-0000-00000B000000}" name="STATUS"/>
    <tableColumn id="12" xr3:uid="{00000000-0010-0000-0000-00000C000000}" name="PRUEBA _x000a_(COMO SE VERIFICA)"/>
    <tableColumn id="13" xr3:uid="{00000000-0010-0000-0000-00000D000000}" name="COMENTARIOS"/>
    <tableColumn id="14" xr3:uid="{00000000-0010-0000-0000-00000E000000}" name="NOMBRE DE HISTORIA "/>
  </tableColumns>
  <tableStyleInfo name="Formato descripción HU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6"/>
  <sheetViews>
    <sheetView showGridLines="0" tabSelected="1" topLeftCell="E6" workbookViewId="0">
      <selection activeCell="J8" sqref="J8"/>
    </sheetView>
  </sheetViews>
  <sheetFormatPr baseColWidth="10" defaultColWidth="12.625" defaultRowHeight="15" customHeight="1"/>
  <cols>
    <col min="1" max="1" width="4.625" customWidth="1"/>
    <col min="2" max="2" width="11.875" customWidth="1"/>
    <col min="3" max="7" width="37.625" customWidth="1"/>
    <col min="8" max="10" width="10.625" customWidth="1"/>
    <col min="11" max="11" width="13.875" customWidth="1"/>
    <col min="12" max="12" width="13.5" customWidth="1"/>
    <col min="13" max="14" width="37.625" customWidth="1"/>
    <col min="15" max="15" width="34.5" customWidth="1"/>
    <col min="16" max="26" width="9.375" customWidth="1"/>
  </cols>
  <sheetData>
    <row r="1" spans="1:26" ht="16.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>
      <c r="A3" s="1"/>
      <c r="B3" s="53" t="s">
        <v>0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2" customHeight="1">
      <c r="A6" s="1"/>
      <c r="B6" s="5" t="s">
        <v>15</v>
      </c>
      <c r="C6" s="6" t="s">
        <v>16</v>
      </c>
      <c r="D6" s="7" t="s">
        <v>17</v>
      </c>
      <c r="E6" s="6" t="s">
        <v>18</v>
      </c>
      <c r="F6" s="8" t="s">
        <v>19</v>
      </c>
      <c r="G6" s="9" t="s">
        <v>20</v>
      </c>
      <c r="H6" s="8" t="s">
        <v>21</v>
      </c>
      <c r="I6" s="9">
        <v>8</v>
      </c>
      <c r="J6" s="10">
        <v>45991</v>
      </c>
      <c r="K6" s="11" t="s">
        <v>22</v>
      </c>
      <c r="L6" s="12" t="s">
        <v>23</v>
      </c>
      <c r="M6" s="13" t="s">
        <v>24</v>
      </c>
      <c r="N6" s="8" t="s">
        <v>25</v>
      </c>
      <c r="O6" s="9" t="s">
        <v>26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2" customHeight="1">
      <c r="A7" s="1"/>
      <c r="B7" s="5" t="s">
        <v>27</v>
      </c>
      <c r="C7" s="6" t="s">
        <v>28</v>
      </c>
      <c r="D7" s="14" t="s">
        <v>29</v>
      </c>
      <c r="E7" s="15" t="s">
        <v>30</v>
      </c>
      <c r="F7" s="8" t="s">
        <v>19</v>
      </c>
      <c r="G7" s="15" t="s">
        <v>31</v>
      </c>
      <c r="H7" s="8" t="s">
        <v>21</v>
      </c>
      <c r="I7" s="9">
        <v>4</v>
      </c>
      <c r="J7" s="10">
        <v>45994</v>
      </c>
      <c r="K7" s="11" t="s">
        <v>22</v>
      </c>
      <c r="L7" s="12" t="s">
        <v>23</v>
      </c>
      <c r="M7" s="15" t="s">
        <v>32</v>
      </c>
      <c r="N7" s="14" t="s">
        <v>33</v>
      </c>
      <c r="O7" s="9" t="s">
        <v>34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75.75" customHeight="1">
      <c r="A8" s="1"/>
      <c r="B8" s="5" t="s">
        <v>35</v>
      </c>
      <c r="C8" s="6" t="s">
        <v>36</v>
      </c>
      <c r="D8" s="7" t="s">
        <v>37</v>
      </c>
      <c r="E8" s="6" t="s">
        <v>38</v>
      </c>
      <c r="F8" s="8" t="s">
        <v>19</v>
      </c>
      <c r="G8" s="15" t="s">
        <v>39</v>
      </c>
      <c r="H8" s="8" t="s">
        <v>21</v>
      </c>
      <c r="I8" s="9">
        <v>5</v>
      </c>
      <c r="J8" s="10">
        <v>45994</v>
      </c>
      <c r="K8" s="11" t="s">
        <v>40</v>
      </c>
      <c r="L8" s="12" t="s">
        <v>23</v>
      </c>
      <c r="M8" s="16" t="s">
        <v>41</v>
      </c>
      <c r="N8" s="8" t="s">
        <v>42</v>
      </c>
      <c r="O8" s="9" t="s">
        <v>43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75.75" customHeight="1">
      <c r="A9" s="1"/>
      <c r="B9" s="5" t="s">
        <v>44</v>
      </c>
      <c r="C9" s="6" t="s">
        <v>45</v>
      </c>
      <c r="D9" s="7" t="s">
        <v>46</v>
      </c>
      <c r="E9" s="6" t="s">
        <v>47</v>
      </c>
      <c r="F9" s="8" t="s">
        <v>19</v>
      </c>
      <c r="G9" s="15" t="s">
        <v>48</v>
      </c>
      <c r="H9" s="8" t="s">
        <v>21</v>
      </c>
      <c r="I9" s="9">
        <v>6</v>
      </c>
      <c r="J9" s="10">
        <v>45995</v>
      </c>
      <c r="K9" s="11" t="s">
        <v>22</v>
      </c>
      <c r="L9" s="12" t="s">
        <v>23</v>
      </c>
      <c r="M9" s="16" t="s">
        <v>49</v>
      </c>
      <c r="N9" s="14" t="s">
        <v>50</v>
      </c>
      <c r="O9" s="15" t="s">
        <v>51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75.75" customHeight="1">
      <c r="A10" s="1"/>
      <c r="B10" s="5" t="s">
        <v>52</v>
      </c>
      <c r="C10" s="6" t="s">
        <v>53</v>
      </c>
      <c r="D10" s="7" t="s">
        <v>54</v>
      </c>
      <c r="E10" s="6" t="s">
        <v>55</v>
      </c>
      <c r="F10" s="8" t="s">
        <v>19</v>
      </c>
      <c r="G10" s="15" t="s">
        <v>56</v>
      </c>
      <c r="H10" s="8" t="s">
        <v>21</v>
      </c>
      <c r="I10" s="9">
        <v>7</v>
      </c>
      <c r="J10" s="10">
        <v>45996</v>
      </c>
      <c r="K10" s="11" t="s">
        <v>22</v>
      </c>
      <c r="L10" s="12" t="s">
        <v>23</v>
      </c>
      <c r="M10" s="9" t="s">
        <v>57</v>
      </c>
      <c r="N10" s="8" t="s">
        <v>58</v>
      </c>
      <c r="O10" s="9" t="s">
        <v>59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75.75" customHeight="1">
      <c r="A11" s="1"/>
      <c r="B11" s="5" t="s">
        <v>60</v>
      </c>
      <c r="C11" s="6" t="s">
        <v>61</v>
      </c>
      <c r="D11" s="7" t="s">
        <v>62</v>
      </c>
      <c r="E11" s="15" t="s">
        <v>63</v>
      </c>
      <c r="F11" s="8" t="s">
        <v>19</v>
      </c>
      <c r="G11" s="15" t="s">
        <v>64</v>
      </c>
      <c r="H11" s="8" t="s">
        <v>21</v>
      </c>
      <c r="I11" s="9">
        <v>3</v>
      </c>
      <c r="J11" s="10">
        <v>45999</v>
      </c>
      <c r="K11" s="11" t="s">
        <v>22</v>
      </c>
      <c r="L11" s="12" t="s">
        <v>23</v>
      </c>
      <c r="M11" s="15" t="s">
        <v>65</v>
      </c>
      <c r="N11" s="14" t="s">
        <v>66</v>
      </c>
      <c r="O11" s="15" t="s">
        <v>67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4.5" customHeight="1">
      <c r="A12" s="1"/>
      <c r="B12" s="5" t="s">
        <v>68</v>
      </c>
      <c r="C12" s="15" t="s">
        <v>69</v>
      </c>
      <c r="D12" s="14" t="s">
        <v>70</v>
      </c>
      <c r="E12" s="15" t="s">
        <v>71</v>
      </c>
      <c r="F12" s="8" t="s">
        <v>19</v>
      </c>
      <c r="G12" s="15" t="s">
        <v>72</v>
      </c>
      <c r="H12" s="8" t="s">
        <v>21</v>
      </c>
      <c r="I12" s="9">
        <v>5</v>
      </c>
      <c r="J12" s="10">
        <v>46001</v>
      </c>
      <c r="K12" s="11" t="s">
        <v>22</v>
      </c>
      <c r="L12" s="12" t="s">
        <v>23</v>
      </c>
      <c r="M12" s="15" t="s">
        <v>73</v>
      </c>
      <c r="N12" s="14" t="s">
        <v>74</v>
      </c>
      <c r="O12" s="15" t="s">
        <v>75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1.5" customHeight="1">
      <c r="A13" s="1"/>
      <c r="B13" s="5" t="s">
        <v>76</v>
      </c>
      <c r="C13" s="15" t="s">
        <v>77</v>
      </c>
      <c r="D13" s="14" t="s">
        <v>78</v>
      </c>
      <c r="E13" s="15" t="s">
        <v>79</v>
      </c>
      <c r="F13" s="8" t="s">
        <v>19</v>
      </c>
      <c r="G13" s="15" t="s">
        <v>80</v>
      </c>
      <c r="H13" s="8" t="s">
        <v>21</v>
      </c>
      <c r="I13" s="9">
        <v>3</v>
      </c>
      <c r="J13" s="10">
        <v>46006</v>
      </c>
      <c r="K13" s="11" t="s">
        <v>22</v>
      </c>
      <c r="L13" s="12" t="s">
        <v>23</v>
      </c>
      <c r="M13" s="15" t="s">
        <v>81</v>
      </c>
      <c r="N13" s="14" t="s">
        <v>82</v>
      </c>
      <c r="O13" s="15" t="s">
        <v>83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70.5" customHeight="1">
      <c r="A14" s="1"/>
      <c r="B14" s="5" t="s">
        <v>84</v>
      </c>
      <c r="C14" s="15" t="s">
        <v>85</v>
      </c>
      <c r="D14" s="14" t="s">
        <v>86</v>
      </c>
      <c r="E14" s="15" t="s">
        <v>87</v>
      </c>
      <c r="F14" s="8" t="s">
        <v>19</v>
      </c>
      <c r="G14" s="15" t="s">
        <v>88</v>
      </c>
      <c r="H14" s="8" t="s">
        <v>21</v>
      </c>
      <c r="I14" s="9">
        <v>2</v>
      </c>
      <c r="J14" s="10">
        <v>46011</v>
      </c>
      <c r="K14" s="11" t="s">
        <v>22</v>
      </c>
      <c r="L14" s="12" t="s">
        <v>23</v>
      </c>
      <c r="M14" s="15" t="s">
        <v>89</v>
      </c>
      <c r="N14" s="14" t="s">
        <v>90</v>
      </c>
      <c r="O14" s="15" t="s">
        <v>91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1.5" customHeight="1">
      <c r="A15" s="1"/>
      <c r="B15" s="5" t="s">
        <v>92</v>
      </c>
      <c r="C15" s="15" t="s">
        <v>93</v>
      </c>
      <c r="D15" s="14" t="s">
        <v>94</v>
      </c>
      <c r="E15" s="15" t="s">
        <v>95</v>
      </c>
      <c r="F15" s="8" t="s">
        <v>19</v>
      </c>
      <c r="G15" s="15" t="s">
        <v>96</v>
      </c>
      <c r="H15" s="8" t="s">
        <v>21</v>
      </c>
      <c r="I15" s="17">
        <v>2</v>
      </c>
      <c r="J15" s="52">
        <v>46031</v>
      </c>
      <c r="K15" s="18" t="s">
        <v>22</v>
      </c>
      <c r="L15" s="19" t="s">
        <v>23</v>
      </c>
      <c r="M15" s="15" t="s">
        <v>97</v>
      </c>
      <c r="N15" s="14" t="s">
        <v>98</v>
      </c>
      <c r="O15" s="15" t="s">
        <v>99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8.5" customHeight="1">
      <c r="A16" s="1"/>
      <c r="B16" s="5" t="s">
        <v>100</v>
      </c>
      <c r="C16" s="17" t="s">
        <v>101</v>
      </c>
      <c r="D16" s="20" t="s">
        <v>102</v>
      </c>
      <c r="E16" s="17" t="s">
        <v>103</v>
      </c>
      <c r="F16" s="20" t="s">
        <v>19</v>
      </c>
      <c r="G16" s="17" t="s">
        <v>104</v>
      </c>
      <c r="H16" s="20" t="s">
        <v>21</v>
      </c>
      <c r="I16" s="15">
        <v>7</v>
      </c>
      <c r="J16" s="10">
        <v>46033</v>
      </c>
      <c r="K16" s="21" t="s">
        <v>22</v>
      </c>
      <c r="L16" s="22" t="s">
        <v>23</v>
      </c>
      <c r="M16" s="17" t="s">
        <v>105</v>
      </c>
      <c r="N16" s="20" t="s">
        <v>106</v>
      </c>
      <c r="O16" s="17" t="s">
        <v>107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0.75" customHeight="1">
      <c r="A17" s="1"/>
      <c r="B17" s="5" t="s">
        <v>121</v>
      </c>
      <c r="C17" s="50" t="s">
        <v>122</v>
      </c>
      <c r="D17" s="51" t="s">
        <v>123</v>
      </c>
      <c r="E17" s="50" t="s">
        <v>124</v>
      </c>
      <c r="F17" s="20" t="s">
        <v>19</v>
      </c>
      <c r="G17" s="50" t="s">
        <v>125</v>
      </c>
      <c r="H17" s="51" t="s">
        <v>21</v>
      </c>
      <c r="I17" s="21">
        <v>10</v>
      </c>
      <c r="J17" s="10">
        <v>46039</v>
      </c>
      <c r="K17" s="21" t="s">
        <v>22</v>
      </c>
      <c r="L17" s="22" t="s">
        <v>23</v>
      </c>
      <c r="M17" s="50" t="s">
        <v>126</v>
      </c>
      <c r="N17" s="51" t="s">
        <v>127</v>
      </c>
      <c r="O17" s="18" t="s">
        <v>107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1"/>
      <c r="B18" s="1"/>
      <c r="C18" s="1"/>
      <c r="D18" s="23"/>
      <c r="E18" s="1"/>
      <c r="F18" s="1"/>
      <c r="G18" s="1"/>
      <c r="H18" s="1"/>
      <c r="I18" s="2"/>
      <c r="J18" s="1"/>
      <c r="K18" s="3" t="s">
        <v>22</v>
      </c>
      <c r="L18" s="3" t="s">
        <v>108</v>
      </c>
      <c r="M18" s="24"/>
      <c r="N18" s="23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1"/>
      <c r="B19" s="1"/>
      <c r="C19" s="1"/>
      <c r="D19" s="25"/>
      <c r="E19" s="1"/>
      <c r="F19" s="1"/>
      <c r="G19" s="1"/>
      <c r="H19" s="1"/>
      <c r="I19" s="2"/>
      <c r="J19" s="1"/>
      <c r="K19" s="3" t="s">
        <v>40</v>
      </c>
      <c r="L19" s="3" t="s">
        <v>109</v>
      </c>
      <c r="M19" s="1"/>
      <c r="N19" s="23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1"/>
      <c r="B20" s="1"/>
      <c r="C20" s="1"/>
      <c r="D20" s="23"/>
      <c r="E20" s="1"/>
      <c r="F20" s="1"/>
      <c r="G20" s="1"/>
      <c r="H20" s="1"/>
      <c r="I20" s="2"/>
      <c r="J20" s="1"/>
      <c r="K20" s="3" t="s">
        <v>110</v>
      </c>
      <c r="L20" s="3" t="s">
        <v>23</v>
      </c>
      <c r="M20" s="1"/>
      <c r="N20" s="2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1"/>
      <c r="B21" s="1"/>
      <c r="C21" s="1"/>
      <c r="D21" s="23"/>
      <c r="E21" s="1"/>
      <c r="F21" s="1"/>
      <c r="G21" s="1"/>
      <c r="H21" s="1"/>
      <c r="I21" s="2"/>
      <c r="J21" s="1"/>
      <c r="K21" s="3"/>
      <c r="L21" s="3" t="s">
        <v>111</v>
      </c>
      <c r="M21" s="1"/>
      <c r="N21" s="23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1"/>
      <c r="B22" s="1"/>
      <c r="C22" s="1"/>
      <c r="D22" s="23"/>
      <c r="E22" s="1"/>
      <c r="F22" s="1"/>
      <c r="G22" s="1"/>
      <c r="H22" s="1"/>
      <c r="I22" s="2"/>
      <c r="J22" s="1"/>
      <c r="K22" s="1"/>
      <c r="L22" s="1"/>
      <c r="M22" s="1"/>
      <c r="N22" s="23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1"/>
      <c r="B23" s="1"/>
      <c r="C23" s="1"/>
      <c r="D23" s="23"/>
      <c r="E23" s="1"/>
      <c r="F23" s="1"/>
      <c r="G23" s="1"/>
      <c r="H23" s="1"/>
      <c r="I23" s="2"/>
      <c r="J23" s="1"/>
      <c r="K23" s="1"/>
      <c r="L23" s="1"/>
      <c r="M23" s="1"/>
      <c r="N23" s="23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23"/>
      <c r="E24" s="1"/>
      <c r="F24" s="1"/>
      <c r="G24" s="1"/>
      <c r="H24" s="1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23"/>
      <c r="E25" s="1"/>
      <c r="F25" s="1"/>
      <c r="G25" s="1"/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23"/>
      <c r="E26" s="1"/>
      <c r="F26" s="1"/>
      <c r="G26" s="1"/>
      <c r="H26" s="1"/>
      <c r="I26" s="2"/>
      <c r="J26" s="2"/>
      <c r="K26" s="3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23"/>
      <c r="E27" s="1"/>
      <c r="F27" s="1"/>
      <c r="G27" s="1"/>
      <c r="H27" s="1"/>
      <c r="I27" s="2"/>
      <c r="J27" s="2"/>
      <c r="K27" s="3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23"/>
      <c r="E28" s="1"/>
      <c r="F28" s="1"/>
      <c r="G28" s="1"/>
      <c r="H28" s="1"/>
      <c r="I28" s="2"/>
      <c r="J28" s="2"/>
      <c r="K28" s="3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23"/>
      <c r="E29" s="1"/>
      <c r="F29" s="1"/>
      <c r="G29" s="1"/>
      <c r="H29" s="1"/>
      <c r="I29" s="2"/>
      <c r="J29" s="2"/>
      <c r="K29" s="3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2"/>
      <c r="J30" s="2"/>
      <c r="K30" s="3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2"/>
      <c r="J31" s="2"/>
      <c r="K31" s="3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2"/>
      <c r="J32" s="2"/>
      <c r="K32" s="3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2"/>
      <c r="J33" s="2"/>
      <c r="K33" s="3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2"/>
      <c r="J34" s="2"/>
      <c r="K34" s="3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2"/>
      <c r="J35" s="2"/>
      <c r="K35" s="3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2"/>
      <c r="J36" s="2"/>
      <c r="K36" s="3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2"/>
      <c r="J37" s="2"/>
      <c r="K37" s="3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2"/>
      <c r="J38" s="2"/>
      <c r="K38" s="3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2"/>
      <c r="J39" s="2"/>
      <c r="K39" s="3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2"/>
      <c r="J40" s="2"/>
      <c r="K40" s="3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3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3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3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3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3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3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3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3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3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3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3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</sheetData>
  <mergeCells count="1">
    <mergeCell ref="B3:O3"/>
  </mergeCells>
  <phoneticPr fontId="16" type="noConversion"/>
  <conditionalFormatting sqref="L8:L11 L6 L13:L14">
    <cfRule type="colorScale" priority="1">
      <colorScale>
        <cfvo type="min"/>
        <cfvo type="max"/>
        <color rgb="FF57BB8A"/>
        <color rgb="FFFFFFFF"/>
      </colorScale>
    </cfRule>
  </conditionalFormatting>
  <conditionalFormatting sqref="L14">
    <cfRule type="colorScale" priority="2">
      <colorScale>
        <cfvo type="min"/>
        <cfvo type="max"/>
        <color rgb="FF57BB8A"/>
        <color rgb="FFFFFFFF"/>
      </colorScale>
    </cfRule>
  </conditionalFormatting>
  <conditionalFormatting sqref="L12">
    <cfRule type="colorScale" priority="3">
      <colorScale>
        <cfvo type="min"/>
        <cfvo type="max"/>
        <color rgb="FF57BB8A"/>
        <color rgb="FFFFFFFF"/>
      </colorScale>
    </cfRule>
  </conditionalFormatting>
  <conditionalFormatting sqref="L7">
    <cfRule type="colorScale" priority="4">
      <colorScale>
        <cfvo type="min"/>
        <cfvo type="max"/>
        <color rgb="FF57BB8A"/>
        <color rgb="FFFFFFFF"/>
      </colorScale>
    </cfRule>
  </conditionalFormatting>
  <dataValidations count="1">
    <dataValidation type="list" allowBlank="1" sqref="K6:L17" xr:uid="{00000000-0002-0000-0000-000000000000}">
      <formula1>#REF!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00"/>
  <sheetViews>
    <sheetView showGridLines="0" workbookViewId="0"/>
  </sheetViews>
  <sheetFormatPr baseColWidth="10" defaultColWidth="12.625" defaultRowHeight="15" customHeight="1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/>
    <row r="3" spans="1:26" ht="15" hidden="1" customHeight="1"/>
    <row r="4" spans="1:26" hidden="1">
      <c r="C4" s="26"/>
      <c r="D4" s="26"/>
      <c r="E4" s="26"/>
      <c r="F4" s="27"/>
    </row>
    <row r="5" spans="1:26" hidden="1">
      <c r="C5" s="26"/>
      <c r="D5" s="26"/>
      <c r="E5" s="26"/>
      <c r="F5" s="27"/>
    </row>
    <row r="6" spans="1:26" ht="39.75" customHeight="1">
      <c r="B6" s="81" t="s">
        <v>112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5"/>
    </row>
    <row r="7" spans="1:26" ht="9.75" customHeight="1">
      <c r="A7" s="28"/>
      <c r="B7" s="28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9.75" customHeight="1">
      <c r="B8" s="30"/>
      <c r="C8" s="31"/>
      <c r="D8" s="31"/>
      <c r="E8" s="31"/>
      <c r="F8" s="32"/>
      <c r="G8" s="33"/>
      <c r="H8" s="33"/>
      <c r="I8" s="33"/>
      <c r="J8" s="33"/>
      <c r="K8" s="33"/>
      <c r="L8" s="33"/>
      <c r="M8" s="33"/>
      <c r="N8" s="33"/>
      <c r="O8" s="33"/>
      <c r="P8" s="34"/>
      <c r="Q8" s="28"/>
    </row>
    <row r="9" spans="1:26" ht="30" customHeight="1">
      <c r="B9" s="35"/>
      <c r="C9" s="36" t="s">
        <v>1</v>
      </c>
      <c r="D9" s="37"/>
      <c r="E9" s="66" t="s">
        <v>113</v>
      </c>
      <c r="F9" s="55"/>
      <c r="G9" s="37"/>
      <c r="H9" s="66" t="s">
        <v>11</v>
      </c>
      <c r="I9" s="55"/>
      <c r="J9" s="38"/>
      <c r="K9" s="38"/>
      <c r="L9" s="38"/>
      <c r="M9" s="38"/>
      <c r="N9" s="38"/>
      <c r="O9" s="38"/>
      <c r="P9" s="39"/>
      <c r="Q9" s="28"/>
    </row>
    <row r="10" spans="1:26" ht="30" customHeight="1">
      <c r="B10" s="35"/>
      <c r="C10" s="40" t="s">
        <v>100</v>
      </c>
      <c r="D10" s="41"/>
      <c r="E10" s="67" t="str">
        <f>VLOOKUP(C10,'Formato descripción HU'!B6:O17,5,0)</f>
        <v>Para la clienta Veronica Gordillo dueña de JK. Multiplasticos.</v>
      </c>
      <c r="F10" s="55"/>
      <c r="G10" s="42"/>
      <c r="H10" s="67" t="str">
        <f>VLOOKUP(C10,'Formato descripción HU'!B6:O17,11,0)</f>
        <v>Terminado</v>
      </c>
      <c r="I10" s="55"/>
      <c r="J10" s="42"/>
      <c r="K10" s="38"/>
      <c r="L10" s="38"/>
      <c r="M10" s="38"/>
      <c r="N10" s="38"/>
      <c r="O10" s="38"/>
      <c r="P10" s="39"/>
      <c r="Q10" s="28"/>
    </row>
    <row r="11" spans="1:26" ht="9.75" customHeight="1">
      <c r="A11" s="28"/>
      <c r="B11" s="35"/>
      <c r="C11" s="43"/>
      <c r="D11" s="41"/>
      <c r="E11" s="44"/>
      <c r="F11" s="44"/>
      <c r="G11" s="42"/>
      <c r="H11" s="44"/>
      <c r="I11" s="44"/>
      <c r="J11" s="42"/>
      <c r="K11" s="44"/>
      <c r="L11" s="44"/>
      <c r="M11" s="38"/>
      <c r="N11" s="44"/>
      <c r="O11" s="44"/>
      <c r="P11" s="39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30" customHeight="1">
      <c r="A12" s="28"/>
      <c r="B12" s="35"/>
      <c r="C12" s="36" t="s">
        <v>114</v>
      </c>
      <c r="D12" s="41"/>
      <c r="E12" s="66" t="s">
        <v>10</v>
      </c>
      <c r="F12" s="55"/>
      <c r="G12" s="42"/>
      <c r="H12" s="66" t="s">
        <v>115</v>
      </c>
      <c r="I12" s="55"/>
      <c r="J12" s="42"/>
      <c r="K12" s="44"/>
      <c r="L12" s="44"/>
      <c r="M12" s="38"/>
      <c r="N12" s="44"/>
      <c r="O12" s="44"/>
      <c r="P12" s="39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30" customHeight="1">
      <c r="A13" s="28"/>
      <c r="B13" s="35"/>
      <c r="C13" s="49">
        <f>VLOOKUP('Historia de Usuario'!C10,'Formato descripción HU'!B6:O17,8,0)</f>
        <v>7</v>
      </c>
      <c r="D13" s="41"/>
      <c r="E13" s="67" t="str">
        <f>VLOOKUP(C10,'Formato descripción HU'!B6:O17,10,0)</f>
        <v>Alta</v>
      </c>
      <c r="F13" s="55"/>
      <c r="G13" s="42"/>
      <c r="H13" s="67" t="str">
        <f>VLOOKUP(C10,'Formato descripción HU'!B6:O17,7,0)</f>
        <v>Grupo 6</v>
      </c>
      <c r="I13" s="55"/>
      <c r="J13" s="42"/>
      <c r="K13" s="44"/>
      <c r="L13" s="44"/>
      <c r="M13" s="38"/>
      <c r="N13" s="44"/>
      <c r="O13" s="44"/>
      <c r="P13" s="39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9.75" customHeight="1">
      <c r="A14" s="28"/>
      <c r="B14" s="35"/>
      <c r="C14" s="38"/>
      <c r="D14" s="41"/>
      <c r="E14" s="38"/>
      <c r="F14" s="38"/>
      <c r="G14" s="42"/>
      <c r="H14" s="42"/>
      <c r="I14" s="38"/>
      <c r="J14" s="38"/>
      <c r="K14" s="38"/>
      <c r="L14" s="38"/>
      <c r="M14" s="38"/>
      <c r="N14" s="38"/>
      <c r="O14" s="38"/>
      <c r="P14" s="39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9.5" customHeight="1">
      <c r="A15" s="28"/>
      <c r="B15" s="35"/>
      <c r="C15" s="69" t="s">
        <v>116</v>
      </c>
      <c r="D15" s="68" t="str">
        <f>VLOOKUP(C10,'Formato descripción HU'!B6:O17,3,0)</f>
        <v>Poder cerrar sesión de manera segura.</v>
      </c>
      <c r="E15" s="57"/>
      <c r="F15" s="45"/>
      <c r="G15" s="69" t="s">
        <v>117</v>
      </c>
      <c r="H15" s="68" t="str">
        <f>VLOOKUP(C10,'Formato descripción HU'!B6:O17,4,0)</f>
        <v>Para evitar que otra persona use su cuenta.</v>
      </c>
      <c r="I15" s="63"/>
      <c r="J15" s="57"/>
      <c r="K15" s="45"/>
      <c r="L15" s="69" t="s">
        <v>118</v>
      </c>
      <c r="M15" s="72" t="str">
        <f>VLOOKUP(C10,'Formato descripción HU'!B6:O17,6,0)</f>
        <v>Regresar al menú de inicio y pedir credenciales nuevamente.</v>
      </c>
      <c r="N15" s="63"/>
      <c r="O15" s="57"/>
      <c r="P15" s="39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9.5" customHeight="1">
      <c r="A16" s="28"/>
      <c r="B16" s="35"/>
      <c r="C16" s="70"/>
      <c r="D16" s="58"/>
      <c r="E16" s="59"/>
      <c r="F16" s="45"/>
      <c r="G16" s="70"/>
      <c r="H16" s="58"/>
      <c r="I16" s="64"/>
      <c r="J16" s="59"/>
      <c r="K16" s="45"/>
      <c r="L16" s="70"/>
      <c r="M16" s="58"/>
      <c r="N16" s="64"/>
      <c r="O16" s="59"/>
      <c r="P16" s="39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9.5" customHeight="1">
      <c r="A17" s="28"/>
      <c r="B17" s="35"/>
      <c r="C17" s="71"/>
      <c r="D17" s="60"/>
      <c r="E17" s="61"/>
      <c r="F17" s="45"/>
      <c r="G17" s="71"/>
      <c r="H17" s="60"/>
      <c r="I17" s="65"/>
      <c r="J17" s="61"/>
      <c r="K17" s="45"/>
      <c r="L17" s="71"/>
      <c r="M17" s="60"/>
      <c r="N17" s="65"/>
      <c r="O17" s="61"/>
      <c r="P17" s="39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9.75" customHeight="1">
      <c r="A18" s="28"/>
      <c r="B18" s="35"/>
      <c r="C18" s="38"/>
      <c r="D18" s="38"/>
      <c r="E18" s="38"/>
      <c r="F18" s="38"/>
      <c r="G18" s="42"/>
      <c r="H18" s="42"/>
      <c r="I18" s="42"/>
      <c r="J18" s="38"/>
      <c r="K18" s="38"/>
      <c r="L18" s="38"/>
      <c r="M18" s="38"/>
      <c r="N18" s="38"/>
      <c r="O18" s="38"/>
      <c r="P18" s="39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9.5" customHeight="1">
      <c r="B19" s="35"/>
      <c r="C19" s="79" t="s">
        <v>119</v>
      </c>
      <c r="D19" s="57"/>
      <c r="E19" s="73" t="str">
        <f>VLOOKUP(C10,'Formato descripción HU'!B6:O17,14,0)</f>
        <v>CERRAR SESIÓN</v>
      </c>
      <c r="F19" s="74"/>
      <c r="G19" s="74"/>
      <c r="H19" s="74"/>
      <c r="I19" s="74"/>
      <c r="J19" s="74"/>
      <c r="K19" s="74"/>
      <c r="L19" s="74"/>
      <c r="M19" s="74"/>
      <c r="N19" s="74"/>
      <c r="O19" s="75"/>
      <c r="P19" s="39"/>
      <c r="Q19" s="28"/>
    </row>
    <row r="20" spans="1:26" ht="19.5" customHeight="1">
      <c r="B20" s="35"/>
      <c r="C20" s="60"/>
      <c r="D20" s="61"/>
      <c r="E20" s="76"/>
      <c r="F20" s="77"/>
      <c r="G20" s="77"/>
      <c r="H20" s="77"/>
      <c r="I20" s="77"/>
      <c r="J20" s="77"/>
      <c r="K20" s="77"/>
      <c r="L20" s="77"/>
      <c r="M20" s="77"/>
      <c r="N20" s="77"/>
      <c r="O20" s="78"/>
      <c r="P20" s="39"/>
      <c r="Q20" s="28"/>
    </row>
    <row r="21" spans="1:26" ht="9.75" customHeight="1">
      <c r="B21" s="35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9"/>
      <c r="Q21" s="28"/>
    </row>
    <row r="22" spans="1:26" ht="19.5" customHeight="1">
      <c r="A22" s="28"/>
      <c r="B22" s="35"/>
      <c r="C22" s="56" t="s">
        <v>120</v>
      </c>
      <c r="D22" s="57"/>
      <c r="E22" s="80" t="str">
        <f>VLOOKUP(C10,'Formato descripción HU'!B6:O17,12,0)</f>
        <v>La sesión debe cerrarse y pedir usuario y contraseña de nuevo.</v>
      </c>
      <c r="F22" s="63"/>
      <c r="G22" s="63"/>
      <c r="H22" s="57"/>
      <c r="I22" s="38"/>
      <c r="J22" s="56" t="s">
        <v>13</v>
      </c>
      <c r="K22" s="57"/>
      <c r="L22" s="62" t="str">
        <f>VLOOKUP(C10,'Formato descripción HU'!B6:O17,13,0)</f>
        <v>Debe funcionar rápido y sin errores.</v>
      </c>
      <c r="M22" s="63"/>
      <c r="N22" s="63"/>
      <c r="O22" s="57"/>
      <c r="P22" s="39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9.5" customHeight="1">
      <c r="A23" s="28"/>
      <c r="B23" s="35"/>
      <c r="C23" s="58"/>
      <c r="D23" s="59"/>
      <c r="E23" s="58"/>
      <c r="F23" s="64"/>
      <c r="G23" s="64"/>
      <c r="H23" s="59"/>
      <c r="I23" s="38"/>
      <c r="J23" s="58"/>
      <c r="K23" s="59"/>
      <c r="L23" s="58"/>
      <c r="M23" s="64"/>
      <c r="N23" s="64"/>
      <c r="O23" s="59"/>
      <c r="P23" s="39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9.5" customHeight="1">
      <c r="A24" s="28"/>
      <c r="B24" s="35"/>
      <c r="C24" s="60"/>
      <c r="D24" s="61"/>
      <c r="E24" s="60"/>
      <c r="F24" s="65"/>
      <c r="G24" s="65"/>
      <c r="H24" s="61"/>
      <c r="I24" s="38"/>
      <c r="J24" s="60"/>
      <c r="K24" s="61"/>
      <c r="L24" s="60"/>
      <c r="M24" s="65"/>
      <c r="N24" s="65"/>
      <c r="O24" s="61"/>
      <c r="P24" s="39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9.75" customHeight="1">
      <c r="A25" s="28"/>
      <c r="B25" s="46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9.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9.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9.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9.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9.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9.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9.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9.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9.5" customHeight="1"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</row>
    <row r="35" spans="1:26" ht="19.5" customHeight="1"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</row>
    <row r="36" spans="1:26" ht="19.5" customHeight="1"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</row>
    <row r="37" spans="1:26" ht="19.5" customHeight="1"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</row>
    <row r="38" spans="1:26" ht="19.5" customHeight="1"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</row>
    <row r="39" spans="1:26" ht="19.5" customHeight="1"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</row>
    <row r="40" spans="1:26" ht="19.5" customHeight="1"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</row>
    <row r="41" spans="1:26" ht="19.5" customHeight="1"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</row>
    <row r="42" spans="1:26" ht="19.5" customHeight="1"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</row>
    <row r="43" spans="1:26" ht="19.5" customHeight="1"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</row>
    <row r="44" spans="1:26" ht="19.5" customHeight="1"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</row>
    <row r="45" spans="1:26" ht="19.5" customHeight="1"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</row>
    <row r="46" spans="1:26" ht="19.5" customHeight="1"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</row>
    <row r="47" spans="1:26" ht="19.5" customHeight="1"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</row>
    <row r="48" spans="1:26" ht="19.5" customHeight="1"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</row>
    <row r="49" spans="3:16" ht="19.5" customHeight="1"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</row>
    <row r="50" spans="3:16" ht="19.5" customHeight="1"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</row>
    <row r="51" spans="3:16" ht="19.5" customHeight="1"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</row>
    <row r="52" spans="3:16" ht="19.5" customHeight="1"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</row>
    <row r="53" spans="3:16" ht="19.5" customHeight="1"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</row>
    <row r="54" spans="3:16" ht="19.5" customHeight="1"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</row>
    <row r="55" spans="3:16" ht="15.75" customHeight="1"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</row>
    <row r="56" spans="3:16" ht="15.75" customHeight="1"/>
    <row r="57" spans="3:16" ht="15.75" customHeight="1"/>
    <row r="58" spans="3:16" ht="15.75" customHeight="1"/>
    <row r="59" spans="3:16" ht="15.75" customHeight="1"/>
    <row r="60" spans="3:16" ht="15.75" customHeight="1"/>
    <row r="61" spans="3:16" ht="15.75" customHeight="1"/>
    <row r="62" spans="3:16" ht="15.75" customHeight="1"/>
    <row r="63" spans="3:16" ht="15.75" customHeight="1"/>
    <row r="64" spans="3:1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HU'!$B$6:$B$16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Ismael</cp:lastModifiedBy>
  <dcterms:modified xsi:type="dcterms:W3CDTF">2026-02-02T23:52:59Z</dcterms:modified>
</cp:coreProperties>
</file>