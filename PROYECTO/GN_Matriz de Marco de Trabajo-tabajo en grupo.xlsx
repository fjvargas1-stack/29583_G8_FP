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ha\Downloads\"/>
    </mc:Choice>
  </mc:AlternateContent>
  <xr:revisionPtr revIDLastSave="0" documentId="8_{6B0F5A53-80C3-47A4-8E6D-EFCAB1223E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<sst xmlns="http://schemas.openxmlformats.org/spreadsheetml/2006/main" count="114" uniqueCount="90">
  <si>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</si>
  <si>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</si>
  <si>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</si>
  <si>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</si>
  <si>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</si>
  <si>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</si>
  <si>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</si>
  <si>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</si>
  <si>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</si>
  <si>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</si>
  <si>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</si>
  <si>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</si>
  <si>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</si>
  <si>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</si>
  <si>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</si>
  <si>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</si>
  <si>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</si>
  <si>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</si>
  <si>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</si>
  <si>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</si>
  <si>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</si>
  <si>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</si>
  <si>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</si>
  <si>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</si>
  <si>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</si>
  <si>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</si>
  <si>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</si>
  <si>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</si>
  <si>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</si>
  <si>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</si>
  <si>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</si>
  <si>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</si>
  <si>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</si>
  <si>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</si>
  <si>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Control manual de productos causa errores en inventario</t>
  </si>
  <si>
    <t>Registrar nuevos envases/plásticos en el sistema</t>
  </si>
  <si>
    <t>Mantener un catálogo actualizado de productos</t>
  </si>
  <si>
    <t>Ingresar código, nombre, cantidad inicial, precio</t>
  </si>
  <si>
    <t>3H</t>
  </si>
  <si>
    <t>Richard Casa</t>
  </si>
  <si>
    <t>Se puede listar el producto recién creado y sus datos coinciden con los ingresados</t>
  </si>
  <si>
    <t>Crear producto</t>
  </si>
  <si>
    <t>REQ002</t>
  </si>
  <si>
    <t>No hay registro automatizado de entradas/salidas</t>
  </si>
  <si>
    <t>Registrar ingreso de productos al inventario</t>
  </si>
  <si>
    <t>Llevar control preciso de stock</t>
  </si>
  <si>
    <t>Empleado</t>
  </si>
  <si>
    <t>Seleccionar producto, ingresar cantidad, fecha y proveedor</t>
  </si>
  <si>
    <t>Ismael</t>
  </si>
  <si>
    <t>El stock se actualiza automáticamente después del registro</t>
  </si>
  <si>
    <t>Registrar entrada</t>
  </si>
  <si>
    <t>REQ003</t>
  </si>
  <si>
    <t>Dificultad para realizar ventas y actualizar inventario</t>
  </si>
  <si>
    <t>Registrar salida de productos (ventas/retiros)</t>
  </si>
  <si>
    <t>Evitar desfases entre inventario físico y lógico</t>
  </si>
  <si>
    <t>Seleccionar producto, cantidad, cliente, fecha</t>
  </si>
  <si>
    <t>Mateo</t>
  </si>
  <si>
    <t>El stock disminuye correctamente después de la salida</t>
  </si>
  <si>
    <t>Registrar salida</t>
  </si>
  <si>
    <t>REQ004</t>
  </si>
  <si>
    <t>No se conoce el stock actual de forma rápida</t>
  </si>
  <si>
    <t>Consultar inventario actualizado</t>
  </si>
  <si>
    <t>Tomar decisiones con información confiable</t>
  </si>
  <si>
    <t>Ver listado de productos con cantidad disponible y alertas</t>
  </si>
  <si>
    <t>Monserrat</t>
  </si>
  <si>
    <t>Media</t>
  </si>
  <si>
    <t>La lista muestra cantidades exactas y productos con stock bajo se destacan</t>
  </si>
  <si>
    <t>Consultar inventario</t>
  </si>
  <si>
    <t>REQ005</t>
  </si>
  <si>
    <t>Errores por falta de validación en transacciones</t>
  </si>
  <si>
    <t>Validar datos en entradas y salidas</t>
  </si>
  <si>
    <t>Prevenir registros incorrectos o duplicados</t>
  </si>
  <si>
    <t>Sistema</t>
  </si>
  <si>
    <t>Validar que cantidad no sea negativa, producto exista, etc.</t>
  </si>
  <si>
    <t>Francisco</t>
  </si>
  <si>
    <t>El sistema rechaza datos inválidos y muestra mensaje de error</t>
  </si>
  <si>
    <t>Validar transacciones</t>
  </si>
  <si>
    <t>REQ006</t>
  </si>
  <si>
    <t>No hay reportes básicos para análisis</t>
  </si>
  <si>
    <t>Generar reporte de movimientos diarios/semanales</t>
  </si>
  <si>
    <t>Facilitar la revisión de operaciones y cierre</t>
  </si>
  <si>
    <t>Seleccionar rango de fechas, exportar a txt o imprimir</t>
  </si>
  <si>
    <t>El reporte muestra todas las transacciones en el período seleccionado</t>
  </si>
  <si>
    <t>Generar reporte</t>
  </si>
  <si>
    <t>REQ007</t>
  </si>
  <si>
    <t>No se controla quién accede al sistema</t>
  </si>
  <si>
    <t>Sistema de login básico para usuarios autorizados</t>
  </si>
  <si>
    <t>Evitar acceso no autorizado</t>
  </si>
  <si>
    <t>Ingresar usuario y contraseña predefinidos</t>
  </si>
  <si>
    <t>Solo con credenciales válidas se accede al menú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</si>
</sst>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opLeftCell="F7" zoomScaleNormal="100" workbookViewId="0">
      <selection activeCell="L10" sqref="L10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02" customHeight="1" x14ac:dyDescent="0.3">
      <c r="B6" s="39" t="s">
        <v>15</v>
      </c>
      <c r="C6" s="39" t="s">
        <v>34</v>
      </c>
      <c r="D6" s="39" t="s">
        <v>35</v>
      </c>
      <c r="E6" s="39" t="s">
        <v>36</v>
      </c>
      <c r="F6" s="39" t="s">
        <v>16</v>
      </c>
      <c r="G6" s="39" t="s">
        <v>37</v>
      </c>
      <c r="H6" s="39" t="s">
        <v>39</v>
      </c>
      <c r="I6" s="39" t="s">
        <v>38</v>
      </c>
      <c r="J6" s="40">
        <v>45698</v>
      </c>
      <c r="K6" s="39" t="s">
        <v>17</v>
      </c>
      <c r="L6" s="39" t="s">
        <v>23</v>
      </c>
      <c r="M6" s="41" t="s">
        <v>40</v>
      </c>
      <c r="N6" s="39"/>
      <c r="O6" s="39" t="s">
        <v>41</v>
      </c>
    </row>
    <row r="7" spans="1:26" ht="75.75" customHeight="1" x14ac:dyDescent="0.3">
      <c r="B7" s="28" t="s">
        <v>42</v>
      </c>
      <c r="C7" s="28" t="s">
        <v>43</v>
      </c>
      <c r="D7" s="28" t="s">
        <v>44</v>
      </c>
      <c r="E7" s="28" t="s">
        <v>45</v>
      </c>
      <c r="F7" s="28" t="s">
        <v>46</v>
      </c>
      <c r="G7" s="28" t="s">
        <v>47</v>
      </c>
      <c r="H7" s="28" t="s">
        <v>48</v>
      </c>
      <c r="I7" s="28">
        <v>4</v>
      </c>
      <c r="J7" s="29">
        <v>46003</v>
      </c>
      <c r="K7" s="28" t="s">
        <v>17</v>
      </c>
      <c r="L7" s="28" t="s">
        <v>23</v>
      </c>
      <c r="M7" s="30" t="s">
        <v>49</v>
      </c>
      <c r="N7" s="28"/>
      <c r="O7" s="28" t="s">
        <v>50</v>
      </c>
    </row>
    <row r="8" spans="1:26" ht="75.75" customHeight="1" x14ac:dyDescent="0.3">
      <c r="B8" s="28" t="s">
        <v>51</v>
      </c>
      <c r="C8" s="28" t="s">
        <v>52</v>
      </c>
      <c r="D8" s="28" t="s">
        <v>53</v>
      </c>
      <c r="E8" s="28" t="s">
        <v>54</v>
      </c>
      <c r="F8" s="28" t="s">
        <v>46</v>
      </c>
      <c r="G8" s="28" t="s">
        <v>55</v>
      </c>
      <c r="H8" s="28" t="s">
        <v>56</v>
      </c>
      <c r="I8" s="28">
        <v>4</v>
      </c>
      <c r="J8" s="29">
        <v>46006</v>
      </c>
      <c r="K8" s="28" t="s">
        <v>17</v>
      </c>
      <c r="L8" s="28" t="s">
        <v>23</v>
      </c>
      <c r="M8" s="30" t="s">
        <v>57</v>
      </c>
      <c r="N8" s="28"/>
      <c r="O8" s="28" t="s">
        <v>58</v>
      </c>
    </row>
    <row r="9" spans="1:26" ht="75.75" customHeight="1" x14ac:dyDescent="0.3">
      <c r="B9" s="28" t="s">
        <v>59</v>
      </c>
      <c r="C9" s="28" t="s">
        <v>60</v>
      </c>
      <c r="D9" s="31" t="s">
        <v>61</v>
      </c>
      <c r="E9" s="28" t="s">
        <v>62</v>
      </c>
      <c r="F9" s="28" t="s">
        <v>16</v>
      </c>
      <c r="G9" s="32" t="s">
        <v>63</v>
      </c>
      <c r="H9" s="28" t="s">
        <v>64</v>
      </c>
      <c r="I9" s="28">
        <v>2</v>
      </c>
      <c r="J9" s="29">
        <v>46009</v>
      </c>
      <c r="K9" s="28" t="s">
        <v>65</v>
      </c>
      <c r="L9" s="28" t="s">
        <v>23</v>
      </c>
      <c r="M9" s="28" t="s">
        <v>66</v>
      </c>
      <c r="N9" s="28"/>
      <c r="O9" s="28" t="s">
        <v>67</v>
      </c>
    </row>
    <row r="10" spans="1:26" ht="75.75" customHeight="1" x14ac:dyDescent="0.3">
      <c r="B10" s="28" t="s">
        <v>68</v>
      </c>
      <c r="C10" s="28" t="s">
        <v>69</v>
      </c>
      <c r="D10" s="32" t="s">
        <v>70</v>
      </c>
      <c r="E10" s="28" t="s">
        <v>71</v>
      </c>
      <c r="F10" s="28" t="s">
        <v>72</v>
      </c>
      <c r="G10" s="32" t="s">
        <v>73</v>
      </c>
      <c r="H10" s="28" t="s">
        <v>74</v>
      </c>
      <c r="I10" s="28">
        <v>3</v>
      </c>
      <c r="J10" s="29">
        <v>46011</v>
      </c>
      <c r="K10" s="28" t="s">
        <v>65</v>
      </c>
      <c r="L10" s="28" t="s">
        <v>19</v>
      </c>
      <c r="M10" s="28" t="s">
        <v>75</v>
      </c>
      <c r="N10" s="28"/>
      <c r="O10" s="28" t="s">
        <v>76</v>
      </c>
    </row>
    <row r="11" spans="1:26" ht="64.5" customHeight="1" x14ac:dyDescent="0.3">
      <c r="B11" s="28" t="s">
        <v>77</v>
      </c>
      <c r="C11" s="28" t="s">
        <v>78</v>
      </c>
      <c r="D11" s="28" t="s">
        <v>79</v>
      </c>
      <c r="E11" s="28" t="s">
        <v>80</v>
      </c>
      <c r="F11" s="28" t="s">
        <v>16</v>
      </c>
      <c r="G11" s="28" t="s">
        <v>81</v>
      </c>
      <c r="H11" s="28" t="s">
        <v>48</v>
      </c>
      <c r="I11" s="28">
        <v>5</v>
      </c>
      <c r="J11" s="29">
        <v>46013</v>
      </c>
      <c r="K11" s="28" t="s">
        <v>22</v>
      </c>
      <c r="L11" s="28" t="s">
        <v>19</v>
      </c>
      <c r="M11" s="30" t="s">
        <v>82</v>
      </c>
      <c r="N11" s="28"/>
      <c r="O11" s="28" t="s">
        <v>83</v>
      </c>
    </row>
    <row r="12" spans="1:26" ht="61.5" customHeight="1" x14ac:dyDescent="0.3">
      <c r="B12" s="28" t="s">
        <v>84</v>
      </c>
      <c r="C12" s="28" t="s">
        <v>85</v>
      </c>
      <c r="D12" s="31" t="s">
        <v>86</v>
      </c>
      <c r="E12" s="28" t="s">
        <v>87</v>
      </c>
      <c r="F12" s="28" t="s">
        <v>16</v>
      </c>
      <c r="G12" s="32" t="s">
        <v>88</v>
      </c>
      <c r="H12" s="28" t="s">
        <v>56</v>
      </c>
      <c r="I12" s="28">
        <v>3</v>
      </c>
      <c r="J12" s="29">
        <v>46016</v>
      </c>
      <c r="K12" s="28" t="s">
        <v>22</v>
      </c>
      <c r="L12" s="28" t="s">
        <v>19</v>
      </c>
      <c r="M12" s="28" t="s">
        <v>89</v>
      </c>
      <c r="N12" s="28"/>
      <c r="O12" s="28"/>
    </row>
    <row r="13" spans="1:26" ht="70.5" customHeight="1" x14ac:dyDescent="0.3">
      <c r="B13" s="28"/>
      <c r="C13" s="28"/>
      <c r="D13" s="32"/>
      <c r="E13" s="28"/>
      <c r="F13" s="28"/>
      <c r="G13" s="32"/>
      <c r="H13" s="28"/>
      <c r="I13" s="28"/>
      <c r="J13" s="29"/>
      <c r="K13" s="28"/>
      <c r="L13" s="28"/>
      <c r="M13" s="28"/>
      <c r="N13" s="28"/>
      <c r="O13" s="28"/>
    </row>
    <row r="14" spans="1:26" ht="61.5" customHeight="1" x14ac:dyDescent="0.3">
      <c r="K14" s="26"/>
      <c r="L14" s="26"/>
    </row>
    <row r="15" spans="1:26" ht="58.5" customHeight="1" x14ac:dyDescent="0.3">
      <c r="K15" s="26"/>
      <c r="L15" s="26"/>
    </row>
    <row r="16" spans="1:26" ht="39.75" customHeight="1" x14ac:dyDescent="0.3">
      <c r="K16" s="26"/>
      <c r="L16" s="26"/>
    </row>
    <row r="17" spans="2:15" ht="39.75" customHeight="1" x14ac:dyDescent="0.3">
      <c r="B17" s="33"/>
      <c r="C17" s="34"/>
      <c r="D17" s="34"/>
      <c r="F17" s="34"/>
      <c r="G17" s="34"/>
      <c r="H17" s="34"/>
      <c r="I17" s="35"/>
      <c r="J17" s="36"/>
      <c r="K17" s="35"/>
      <c r="L17" s="35"/>
      <c r="M17" s="34"/>
      <c r="N17" s="34"/>
      <c r="O17" s="34"/>
    </row>
    <row r="18" spans="2:15" ht="39.75" customHeight="1" x14ac:dyDescent="0.3">
      <c r="B18" s="33"/>
      <c r="C18" s="34"/>
      <c r="D18" s="34"/>
      <c r="E18" s="34"/>
      <c r="F18" s="34"/>
      <c r="G18" s="34"/>
      <c r="H18" s="34"/>
      <c r="I18" s="35"/>
      <c r="J18" s="36"/>
      <c r="K18" s="35"/>
      <c r="L18" s="35"/>
      <c r="M18" s="34"/>
      <c r="N18" s="37"/>
      <c r="O18" s="34"/>
    </row>
    <row r="19" spans="2:15" ht="39.75" customHeight="1" x14ac:dyDescent="0.3">
      <c r="B19" s="33"/>
      <c r="C19" s="34"/>
      <c r="D19" s="34"/>
      <c r="F19" s="34"/>
      <c r="G19" s="34"/>
      <c r="H19" s="34"/>
      <c r="I19" s="35"/>
      <c r="J19" s="36"/>
      <c r="K19" s="35"/>
      <c r="L19" s="35"/>
      <c r="M19" s="34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7"/>
      <c r="N20" s="34"/>
      <c r="O20" s="34"/>
    </row>
    <row r="21" spans="2:15" ht="39.75" customHeight="1" x14ac:dyDescent="0.3">
      <c r="B21" s="33"/>
      <c r="C21" s="34"/>
      <c r="D21" s="34"/>
      <c r="E21" s="34"/>
      <c r="F21" s="34"/>
      <c r="G21" s="34"/>
      <c r="H21" s="34"/>
      <c r="I21" s="35"/>
      <c r="J21" s="36"/>
      <c r="K21" s="35"/>
      <c r="L21" s="35"/>
      <c r="M21" s="34" t="s">
        <v>20</v>
      </c>
      <c r="N21" s="34"/>
      <c r="O21" s="37"/>
    </row>
    <row r="22" spans="2:15" ht="19.5" customHeight="1" x14ac:dyDescent="0.3">
      <c r="B22" s="26"/>
      <c r="C22" s="26"/>
      <c r="D22" s="26"/>
      <c r="E22" s="26"/>
      <c r="F22" s="26"/>
      <c r="G22" s="26"/>
      <c r="H22" s="26"/>
      <c r="I22" s="24"/>
      <c r="J22" s="24"/>
      <c r="K22" s="25"/>
      <c r="L22" s="24"/>
      <c r="M22" s="26"/>
      <c r="N22" s="26"/>
    </row>
    <row r="23" spans="2:15" ht="19.5" customHeight="1" x14ac:dyDescent="0.3">
      <c r="I23" s="24"/>
      <c r="J23" s="24"/>
      <c r="K23" s="25"/>
      <c r="L23" s="24"/>
    </row>
    <row r="24" spans="2:15" ht="19.5" customHeight="1" x14ac:dyDescent="0.3">
      <c r="H24" s="37"/>
      <c r="I24" s="24"/>
      <c r="J24" s="24"/>
      <c r="K24" s="25"/>
      <c r="L24" s="24"/>
    </row>
    <row r="25" spans="2:15" ht="19.5" customHeight="1" x14ac:dyDescent="0.3">
      <c r="I25" s="24"/>
      <c r="J25" s="24"/>
      <c r="K25" s="25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38"/>
      <c r="L27" s="24"/>
    </row>
    <row r="28" spans="2:15" ht="19.5" customHeight="1" x14ac:dyDescent="0.3">
      <c r="I28" s="24"/>
      <c r="J28" s="24"/>
      <c r="K28" s="25"/>
      <c r="L28" s="24"/>
    </row>
    <row r="29" spans="2:15" ht="19.5" customHeight="1" x14ac:dyDescent="0.3">
      <c r="I29" s="24"/>
    </row>
    <row r="30" spans="2:15" ht="19.5" customHeight="1" x14ac:dyDescent="0.3">
      <c r="I30" s="24"/>
    </row>
    <row r="31" spans="2:15" ht="19.5" customHeight="1" x14ac:dyDescent="0.3">
      <c r="I31" s="24"/>
      <c r="K31" s="25" t="s">
        <v>17</v>
      </c>
      <c r="L31" s="25" t="s">
        <v>19</v>
      </c>
    </row>
    <row r="32" spans="2:15" ht="19.5" customHeight="1" x14ac:dyDescent="0.3">
      <c r="I32" s="24"/>
      <c r="K32" s="25" t="s">
        <v>21</v>
      </c>
      <c r="L32" s="25" t="s">
        <v>18</v>
      </c>
    </row>
    <row r="33" spans="9:12" ht="19.5" customHeight="1" x14ac:dyDescent="0.3">
      <c r="I33" s="24"/>
      <c r="K33" s="25" t="s">
        <v>22</v>
      </c>
      <c r="L33" s="25" t="s">
        <v>23</v>
      </c>
    </row>
    <row r="34" spans="9:12" ht="19.5" customHeight="1" x14ac:dyDescent="0.3">
      <c r="I34" s="24"/>
      <c r="K34" s="25"/>
      <c r="L34" s="25" t="s">
        <v>24</v>
      </c>
    </row>
    <row r="35" spans="9:12" ht="19.5" customHeight="1" x14ac:dyDescent="0.3">
      <c r="I35" s="24"/>
    </row>
    <row r="36" spans="9:12" ht="19.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  <row r="1002" spans="9:12" ht="15.75" customHeight="1" x14ac:dyDescent="0.3">
      <c r="I1002" s="24"/>
      <c r="J1002" s="24"/>
      <c r="K1002" s="25"/>
      <c r="L1002" s="24"/>
    </row>
  </sheetData>
  <mergeCells count="1">
    <mergeCell ref="B3:O3"/>
  </mergeCells>
  <conditionalFormatting sqref="L6:L10 L12:L13">
    <cfRule type="colorScale" priority="3">
      <colorScale>
        <cfvo type="min"/>
        <cfvo type="max"/>
        <color rgb="FF57BB8A"/>
        <color rgb="FFFFFFFF"/>
      </colorScale>
    </cfRule>
  </conditionalFormatting>
  <conditionalFormatting sqref="L13">
    <cfRule type="colorScale" priority="2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3" xr:uid="{00000000-0002-0000-0000-000000000000}">
      <formula1>$L$31:$L$34</formula1>
    </dataValidation>
    <dataValidation type="list" allowBlank="1" showErrorMessage="1" sqref="K14:L21" xr:uid="{00000000-0002-0000-0000-000001000000}">
      <formula1>#REF!</formula1>
    </dataValidation>
    <dataValidation type="list" allowBlank="1" showErrorMessage="1" sqref="K6:K13" xr:uid="{00000000-0002-0000-0000-000002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tabSelected="1" topLeftCell="A12" workbookViewId="0">
      <selection activeCell="B6" sqref="B6:P6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25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26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6" t="str">
        <f>VLOOKUP(C10,'Formato descripción HU'!B6:O21,5,0)</f>
        <v>Administrador</v>
      </c>
      <c r="F10" s="65"/>
      <c r="G10" s="17"/>
      <c r="H10" s="66" t="str">
        <f>VLOOKUP(C10,'Formato descripción HU'!B6:O21,11,0)</f>
        <v>Terminado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27</v>
      </c>
      <c r="D12" s="16"/>
      <c r="E12" s="64" t="s">
        <v>10</v>
      </c>
      <c r="F12" s="65"/>
      <c r="G12" s="17"/>
      <c r="H12" s="64" t="s">
        <v>28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 t="str">
        <f>VLOOKUP('Historia de Usuario'!C10,'Formato descripción HU'!B6:O21,8,0)</f>
        <v>3H</v>
      </c>
      <c r="D13" s="16"/>
      <c r="E13" s="66" t="str">
        <f>VLOOKUP(C10,'Formato descripción HU'!B6:O21,10,0)</f>
        <v>Alta</v>
      </c>
      <c r="F13" s="65"/>
      <c r="G13" s="17"/>
      <c r="H13" s="66" t="str">
        <f>VLOOKUP(C10,'Formato descripción HU'!B6:O21,7,0)</f>
        <v>Richard Casa</v>
      </c>
      <c r="I13" s="65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29</v>
      </c>
      <c r="D15" s="83" t="str">
        <f>VLOOKUP(C10,'Formato descripción HU'!B6:O21,3,0)</f>
        <v>Registrar nuevos envases/plásticos en el sistema</v>
      </c>
      <c r="E15" s="84"/>
      <c r="F15" s="42"/>
      <c r="G15" s="46" t="s">
        <v>30</v>
      </c>
      <c r="H15" s="83" t="str">
        <f>VLOOKUP(C10,'Formato descripción HU'!B6:O21,4,0)</f>
        <v>Mantener un catálogo actualizado de productos</v>
      </c>
      <c r="I15" s="89"/>
      <c r="J15" s="84"/>
      <c r="K15" s="42"/>
      <c r="L15" s="46" t="s">
        <v>31</v>
      </c>
      <c r="M15" s="49" t="str">
        <f>VLOOKUP(C10,'Formato descripción HU'!B6:O21,6,0)</f>
        <v>Ingresar código, nombre, cantidad inicial, precio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5"/>
      <c r="E16" s="86"/>
      <c r="F16" s="42"/>
      <c r="G16" s="47"/>
      <c r="H16" s="85"/>
      <c r="I16" s="90"/>
      <c r="J16" s="86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7"/>
      <c r="E17" s="88"/>
      <c r="F17" s="42"/>
      <c r="G17" s="48"/>
      <c r="H17" s="87"/>
      <c r="I17" s="91"/>
      <c r="J17" s="88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32</v>
      </c>
      <c r="D19" s="70"/>
      <c r="E19" s="58" t="str">
        <f>VLOOKUP(C10,'Formato descripción HU'!B6:O21,14,0)</f>
        <v>Crear producto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33</v>
      </c>
      <c r="D22" s="70"/>
      <c r="E22" s="76" t="str">
        <f>VLOOKUP(C10,'Formato descripción HU'!B6:O21,12,0)</f>
        <v>Se puede listar el producto recién creado y sus datos coinciden con los ingresados</v>
      </c>
      <c r="F22" s="50"/>
      <c r="G22" s="50"/>
      <c r="H22" s="51"/>
      <c r="I22" s="13"/>
      <c r="J22" s="73" t="s">
        <v>13</v>
      </c>
      <c r="K22" s="70"/>
      <c r="L22" s="79">
        <f>VLOOKUP(C10,'Formato descripción HU'!B6:O21,13,0)</f>
        <v>0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RICHARD ISMAEL CASA TOAPANTA</cp:lastModifiedBy>
  <dcterms:created xsi:type="dcterms:W3CDTF">2019-10-21T15:37:14Z</dcterms:created>
  <dcterms:modified xsi:type="dcterms:W3CDTF">2025-12-17T00:51:05Z</dcterms:modified>
</cp:coreProperties>
</file>